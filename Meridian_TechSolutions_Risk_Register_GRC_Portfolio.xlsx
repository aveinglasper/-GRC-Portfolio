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Risk Summary" sheetId="2" state="visible" r:id="rId2"/>
    <sheet xmlns:r="http://schemas.openxmlformats.org/officeDocument/2006/relationships" name="Methodology &amp; K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1F3864"/>
      <sz val="9"/>
    </font>
    <font>
      <name val="Arial"/>
      <b val="1"/>
      <color rgb="00FFFFFF"/>
      <sz val="9"/>
    </font>
    <font>
      <name val="Arial"/>
      <color rgb="001A1A1A"/>
      <sz val="9"/>
    </font>
    <font>
      <name val="Arial"/>
      <b val="1"/>
      <color rgb="002E4F8C"/>
      <sz val="9"/>
    </font>
    <font>
      <name val="Arial"/>
      <b val="1"/>
      <sz val="9"/>
    </font>
    <font>
      <name val="Arial"/>
      <b val="1"/>
      <color rgb="001A1A1A"/>
      <sz val="9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C00000"/>
      <sz val="10"/>
    </font>
    <font>
      <name val="Arial"/>
      <color rgb="00C00000"/>
      <sz val="10"/>
    </font>
    <font>
      <name val="Arial"/>
      <color rgb="001A1A1A"/>
      <sz val="10"/>
    </font>
    <font>
      <name val="Arial"/>
      <b val="1"/>
      <color rgb="00C55A11"/>
      <sz val="10"/>
    </font>
    <font>
      <name val="Arial"/>
      <color rgb="00C55A11"/>
      <sz val="10"/>
    </font>
    <font>
      <name val="Arial"/>
      <b val="1"/>
      <color rgb="007F6000"/>
      <sz val="10"/>
    </font>
    <font>
      <name val="Arial"/>
      <color rgb="007F6000"/>
      <sz val="10"/>
    </font>
    <font>
      <name val="Arial"/>
      <b val="1"/>
      <color rgb="00375623"/>
      <sz val="10"/>
    </font>
    <font>
      <name val="Arial"/>
      <color rgb="00375623"/>
      <sz val="10"/>
    </font>
    <font>
      <name val="Arial"/>
      <b val="1"/>
      <color rgb="001F3864"/>
      <sz val="10"/>
    </font>
    <font>
      <name val="Arial"/>
      <color rgb="001F3864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F3864"/>
      <sz val="9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4F7"/>
      </patternFill>
    </fill>
    <fill>
      <patternFill patternType="solid">
        <fgColor rgb="002E4F8C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D9DCE3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164" fontId="11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 wrapText="1"/>
    </xf>
    <xf numFmtId="164" fontId="14" fillId="7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164" fontId="16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center" vertical="center" wrapText="1"/>
    </xf>
    <xf numFmtId="164" fontId="18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19" fillId="3" borderId="1" applyAlignment="1" pivotButton="0" quotePrefix="0" xfId="0">
      <alignment horizontal="center" vertical="center" wrapText="1"/>
    </xf>
    <xf numFmtId="164" fontId="20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0" fontId="21" fillId="2" borderId="0" applyAlignment="1" pivotButton="0" quotePrefix="0" xfId="0">
      <alignment horizontal="center" vertical="center" wrapText="1"/>
    </xf>
    <xf numFmtId="0" fontId="22" fillId="7" borderId="1" applyAlignment="1" pivotButton="0" quotePrefix="0" xfId="0">
      <alignment horizontal="center" vertical="center" wrapText="1"/>
    </xf>
    <xf numFmtId="0" fontId="23" fillId="7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23" fillId="6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horizontal="center" vertical="center" wrapText="1"/>
    </xf>
    <xf numFmtId="0" fontId="23" fillId="8" borderId="1" applyAlignment="1" pivotButton="0" quotePrefix="0" xfId="0">
      <alignment horizontal="center" vertical="center" wrapText="1"/>
    </xf>
    <xf numFmtId="0" fontId="22" fillId="9" borderId="1" applyAlignment="1" pivotButton="0" quotePrefix="0" xfId="0">
      <alignment horizontal="center" vertical="center" wrapText="1"/>
    </xf>
    <xf numFmtId="0" fontId="23" fillId="9" borderId="1" applyAlignment="1" pivotButton="0" quotePrefix="0" xfId="0">
      <alignment horizontal="center" vertical="center" wrapText="1"/>
    </xf>
    <xf numFmtId="0" fontId="24" fillId="3" borderId="1" pivotButton="0" quotePrefix="0" xfId="0"/>
    <xf numFmtId="0" fontId="4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9" fillId="4" borderId="0" applyAlignment="1" pivotButton="0" quotePrefix="0" xfId="0">
      <alignment horizontal="center" vertical="center" wrapText="1"/>
    </xf>
    <xf numFmtId="0" fontId="6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25" fillId="10" borderId="1" applyAlignment="1" pivotButton="0" quotePrefix="0" xfId="0">
      <alignment horizontal="center" vertical="center" wrapText="1"/>
    </xf>
    <xf numFmtId="0" fontId="25" fillId="7" borderId="1" applyAlignment="1" pivotButton="0" quotePrefix="0" xfId="0">
      <alignment horizontal="center" vertical="center" wrapText="1"/>
    </xf>
    <xf numFmtId="0" fontId="2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6" customWidth="1" min="3" max="3"/>
    <col width="16" customWidth="1" min="4" max="4"/>
    <col width="28" customWidth="1" min="5" max="5"/>
    <col width="28" customWidth="1" min="6" max="6"/>
    <col width="11" customWidth="1" min="7" max="7"/>
    <col width="11" customWidth="1" min="8" max="8"/>
    <col width="11" customWidth="1" min="9" max="9"/>
    <col width="12" customWidth="1" min="10" max="10"/>
    <col width="30" customWidth="1" min="11" max="11"/>
    <col width="32" customWidth="1" min="12" max="12"/>
    <col width="14" customWidth="1" min="13" max="13"/>
    <col width="14" customWidth="1" min="14" max="14"/>
  </cols>
  <sheetData>
    <row r="1" ht="30" customHeight="1">
      <c r="A1" s="1" t="inlineStr">
        <is>
          <t>MERIDIAN TECH SOLUTIONS — INFORMATION SECURITY RISK REGISTER</t>
        </is>
      </c>
    </row>
    <row r="2" ht="16" customHeight="1">
      <c r="A2" s="2" t="inlineStr">
        <is>
          <t>Framework: NIST SP 800-30 Rev 1  |  Owner: GRC Analyst  |  Last Updated: June 2026  |  Version: 1.0</t>
        </is>
      </c>
    </row>
    <row r="3" ht="8" customHeight="1"/>
    <row r="4" ht="30" customHeight="1">
      <c r="A4" s="3" t="inlineStr">
        <is>
          <t>Risk ID</t>
        </is>
      </c>
      <c r="B4" s="3" t="inlineStr">
        <is>
          <t>Asset</t>
        </is>
      </c>
      <c r="C4" s="3" t="inlineStr">
        <is>
          <t>Asset Owner</t>
        </is>
      </c>
      <c r="D4" s="3" t="inlineStr">
        <is>
          <t>Asset Category</t>
        </is>
      </c>
      <c r="E4" s="3" t="inlineStr">
        <is>
          <t>Threat</t>
        </is>
      </c>
      <c r="F4" s="3" t="inlineStr">
        <is>
          <t>Vulnerability</t>
        </is>
      </c>
      <c r="G4" s="3" t="inlineStr">
        <is>
          <t>Likelihood
(1–5)</t>
        </is>
      </c>
      <c r="H4" s="3" t="inlineStr">
        <is>
          <t>Impact
(1–5)</t>
        </is>
      </c>
      <c r="I4" s="3" t="inlineStr">
        <is>
          <t>Risk Score
(L × I)</t>
        </is>
      </c>
      <c r="J4" s="3" t="inlineStr">
        <is>
          <t>Risk Level</t>
        </is>
      </c>
      <c r="K4" s="3" t="inlineStr">
        <is>
          <t>Current Controls</t>
        </is>
      </c>
      <c r="L4" s="3" t="inlineStr">
        <is>
          <t>Treatment Plan</t>
        </is>
      </c>
      <c r="M4" s="3" t="inlineStr">
        <is>
          <t>Residual Risk</t>
        </is>
      </c>
      <c r="N4" s="3" t="inlineStr">
        <is>
          <t>Status</t>
        </is>
      </c>
    </row>
    <row r="5" ht="45" customHeight="1">
      <c r="A5" s="4" t="inlineStr">
        <is>
          <t>R-001</t>
        </is>
      </c>
      <c r="B5" s="5" t="inlineStr">
        <is>
          <t>Employee Laptops</t>
        </is>
      </c>
      <c r="C5" s="5" t="inlineStr">
        <is>
          <t>IT Department</t>
        </is>
      </c>
      <c r="D5" s="6" t="inlineStr">
        <is>
          <t>End-User Device</t>
        </is>
      </c>
      <c r="E5" s="6" t="inlineStr">
        <is>
          <t>Malware / Ransomware Infection</t>
        </is>
      </c>
      <c r="F5" s="6" t="inlineStr">
        <is>
          <t>No endpoint detection &amp; response (EDR) solution deployed</t>
        </is>
      </c>
      <c r="G5" s="7" t="n">
        <v>4</v>
      </c>
      <c r="H5" s="7" t="n">
        <v>5</v>
      </c>
      <c r="I5" s="7">
        <f>G5*H5</f>
        <v/>
      </c>
      <c r="J5" s="8" t="inlineStr"/>
      <c r="K5" s="6" t="inlineStr">
        <is>
          <t>Windows Defender (basic), periodic AV scans</t>
        </is>
      </c>
      <c r="L5" s="6" t="inlineStr">
        <is>
          <t>Deploy enterprise EDR solution (CrowdStrike/SentinelOne); enforce automatic OS updates</t>
        </is>
      </c>
      <c r="M5" s="6" t="inlineStr">
        <is>
          <t>Medium</t>
        </is>
      </c>
      <c r="N5" s="9" t="inlineStr">
        <is>
          <t>In Progress</t>
        </is>
      </c>
    </row>
    <row r="6" ht="45" customHeight="1">
      <c r="A6" s="10" t="inlineStr">
        <is>
          <t>R-002</t>
        </is>
      </c>
      <c r="B6" s="11" t="inlineStr">
        <is>
          <t>Customer Database (SQL Server)</t>
        </is>
      </c>
      <c r="C6" s="11" t="inlineStr">
        <is>
          <t>Database Admin</t>
        </is>
      </c>
      <c r="D6" s="12" t="inlineStr">
        <is>
          <t>Data / Information</t>
        </is>
      </c>
      <c r="E6" s="12" t="inlineStr">
        <is>
          <t>Unauthorized Data Access</t>
        </is>
      </c>
      <c r="F6" s="12" t="inlineStr">
        <is>
          <t>Weak password policy; no multi-factor authentication (MFA) on DB accounts</t>
        </is>
      </c>
      <c r="G6" s="7" t="n">
        <v>3</v>
      </c>
      <c r="H6" s="7" t="n">
        <v>5</v>
      </c>
      <c r="I6" s="7">
        <f>G6*H6</f>
        <v/>
      </c>
      <c r="J6" s="8" t="inlineStr"/>
      <c r="K6" s="12" t="inlineStr">
        <is>
          <t>Role-based access control (RBAC) partially implemented</t>
        </is>
      </c>
      <c r="L6" s="12" t="inlineStr">
        <is>
          <t>Enforce MFA on all database accounts; implement PAM solution; quarterly access reviews</t>
        </is>
      </c>
      <c r="M6" s="12" t="inlineStr">
        <is>
          <t>Medium</t>
        </is>
      </c>
      <c r="N6" s="13" t="inlineStr">
        <is>
          <t>Open</t>
        </is>
      </c>
    </row>
    <row r="7" ht="45" customHeight="1">
      <c r="A7" s="4" t="inlineStr">
        <is>
          <t>R-003</t>
        </is>
      </c>
      <c r="B7" s="5" t="inlineStr">
        <is>
          <t>Corporate Email System (M365)</t>
        </is>
      </c>
      <c r="C7" s="5" t="inlineStr">
        <is>
          <t>IT Department</t>
        </is>
      </c>
      <c r="D7" s="6" t="inlineStr">
        <is>
          <t>Communication System</t>
        </is>
      </c>
      <c r="E7" s="6" t="inlineStr">
        <is>
          <t>Phishing / Business Email Compromise (BEC)</t>
        </is>
      </c>
      <c r="F7" s="6" t="inlineStr">
        <is>
          <t>Lack of security awareness training; DMARC not fully enforced</t>
        </is>
      </c>
      <c r="G7" s="7" t="n">
        <v>5</v>
      </c>
      <c r="H7" s="7" t="n">
        <v>4</v>
      </c>
      <c r="I7" s="7">
        <f>G7*H7</f>
        <v/>
      </c>
      <c r="J7" s="8" t="inlineStr"/>
      <c r="K7" s="6" t="inlineStr">
        <is>
          <t>Spam filtering enabled; basic phishing awareness posters</t>
        </is>
      </c>
      <c r="L7" s="6" t="inlineStr">
        <is>
          <t>Deploy DMARC/DKIM/SPF enforcement; conduct quarterly phishing simulations; annual security awareness training</t>
        </is>
      </c>
      <c r="M7" s="6" t="inlineStr">
        <is>
          <t>High</t>
        </is>
      </c>
      <c r="N7" s="13" t="inlineStr">
        <is>
          <t>Open</t>
        </is>
      </c>
    </row>
    <row r="8" ht="45" customHeight="1">
      <c r="A8" s="10" t="inlineStr">
        <is>
          <t>R-004</t>
        </is>
      </c>
      <c r="B8" s="11" t="inlineStr">
        <is>
          <t>On-Premises File Server</t>
        </is>
      </c>
      <c r="C8" s="11" t="inlineStr">
        <is>
          <t>Operations Manager</t>
        </is>
      </c>
      <c r="D8" s="12" t="inlineStr">
        <is>
          <t>Data / Information</t>
        </is>
      </c>
      <c r="E8" s="12" t="inlineStr">
        <is>
          <t>Insider Threat — Data Exfiltration</t>
        </is>
      </c>
      <c r="F8" s="12" t="inlineStr">
        <is>
          <t>No Data Loss Prevention (DLP) controls; excessive user permissions</t>
        </is>
      </c>
      <c r="G8" s="7" t="n">
        <v>2</v>
      </c>
      <c r="H8" s="7" t="n">
        <v>5</v>
      </c>
      <c r="I8" s="7">
        <f>G8*H8</f>
        <v/>
      </c>
      <c r="J8" s="8" t="inlineStr"/>
      <c r="K8" s="12" t="inlineStr">
        <is>
          <t>Annual access reviews; basic audit logging enabled</t>
        </is>
      </c>
      <c r="L8" s="12" t="inlineStr">
        <is>
          <t>Implement DLP solution; enforce least-privilege access; review and remove excessive permissions</t>
        </is>
      </c>
      <c r="M8" s="12" t="inlineStr">
        <is>
          <t>Low</t>
        </is>
      </c>
      <c r="N8" s="14" t="inlineStr">
        <is>
          <t>Planned</t>
        </is>
      </c>
    </row>
    <row r="9" ht="45" customHeight="1">
      <c r="A9" s="4" t="inlineStr">
        <is>
          <t>R-005</t>
        </is>
      </c>
      <c r="B9" s="5" t="inlineStr">
        <is>
          <t>VPN / Remote Access Gateway</t>
        </is>
      </c>
      <c r="C9" s="5" t="inlineStr">
        <is>
          <t>IT Department</t>
        </is>
      </c>
      <c r="D9" s="6" t="inlineStr">
        <is>
          <t>Network Infrastructure</t>
        </is>
      </c>
      <c r="E9" s="6" t="inlineStr">
        <is>
          <t>Brute Force / Credential Stuffing Attack</t>
        </is>
      </c>
      <c r="F9" s="6" t="inlineStr">
        <is>
          <t>MFA not enforced on VPN; no account lockout policy configured</t>
        </is>
      </c>
      <c r="G9" s="7" t="n">
        <v>4</v>
      </c>
      <c r="H9" s="7" t="n">
        <v>4</v>
      </c>
      <c r="I9" s="7">
        <f>G9*H9</f>
        <v/>
      </c>
      <c r="J9" s="8" t="inlineStr"/>
      <c r="K9" s="6" t="inlineStr">
        <is>
          <t>SSL VPN deployed; basic logging enabled</t>
        </is>
      </c>
      <c r="L9" s="6" t="inlineStr">
        <is>
          <t>Enforce MFA on all VPN connections; configure account lockout after 5 failed attempts; monitor failed login alerts</t>
        </is>
      </c>
      <c r="M9" s="6" t="inlineStr">
        <is>
          <t>High</t>
        </is>
      </c>
      <c r="N9" s="9" t="inlineStr">
        <is>
          <t>In Progress</t>
        </is>
      </c>
    </row>
    <row r="10" ht="45" customHeight="1">
      <c r="A10" s="10" t="inlineStr">
        <is>
          <t>R-006</t>
        </is>
      </c>
      <c r="B10" s="11" t="inlineStr">
        <is>
          <t>Cloud Storage (SharePoint Online)</t>
        </is>
      </c>
      <c r="C10" s="11" t="inlineStr">
        <is>
          <t>Department Heads</t>
        </is>
      </c>
      <c r="D10" s="12" t="inlineStr">
        <is>
          <t>Cloud Service</t>
        </is>
      </c>
      <c r="E10" s="12" t="inlineStr">
        <is>
          <t>Misconfigured Public Share Permissions</t>
        </is>
      </c>
      <c r="F10" s="12" t="inlineStr">
        <is>
          <t>Users can set folders to 'Anyone with link' without approval</t>
        </is>
      </c>
      <c r="G10" s="7" t="n">
        <v>3</v>
      </c>
      <c r="H10" s="7" t="n">
        <v>4</v>
      </c>
      <c r="I10" s="7">
        <f>G10*H10</f>
        <v/>
      </c>
      <c r="J10" s="8" t="inlineStr"/>
      <c r="K10" s="12" t="inlineStr">
        <is>
          <t>M365 conditional access policies partially configured</t>
        </is>
      </c>
      <c r="L10" s="12" t="inlineStr">
        <is>
          <t>Disable anonymous sharing; require IT approval for external sharing; implement Cloud Access Security Broker (CASB)</t>
        </is>
      </c>
      <c r="M10" s="12" t="inlineStr">
        <is>
          <t>Medium</t>
        </is>
      </c>
      <c r="N10" s="13" t="inlineStr">
        <is>
          <t>Open</t>
        </is>
      </c>
    </row>
    <row r="11" ht="45" customHeight="1">
      <c r="A11" s="4" t="inlineStr">
        <is>
          <t>R-007</t>
        </is>
      </c>
      <c r="B11" s="5" t="inlineStr">
        <is>
          <t>Physical Server Room</t>
        </is>
      </c>
      <c r="C11" s="5" t="inlineStr">
        <is>
          <t>Facilities Manager</t>
        </is>
      </c>
      <c r="D11" s="6" t="inlineStr">
        <is>
          <t>Physical Infrastructure</t>
        </is>
      </c>
      <c r="E11" s="6" t="inlineStr">
        <is>
          <t>Unauthorized Physical Access</t>
        </is>
      </c>
      <c r="F11" s="6" t="inlineStr">
        <is>
          <t>No badge access control on server room; visitor log paper-based only</t>
        </is>
      </c>
      <c r="G11" s="7" t="n">
        <v>2</v>
      </c>
      <c r="H11" s="7" t="n">
        <v>5</v>
      </c>
      <c r="I11" s="7">
        <f>G11*H11</f>
        <v/>
      </c>
      <c r="J11" s="8" t="inlineStr"/>
      <c r="K11" s="6" t="inlineStr">
        <is>
          <t>Door lock (key); CCTV coverage in hallway</t>
        </is>
      </c>
      <c r="L11" s="6" t="inlineStr">
        <is>
          <t>Install badge reader on server room door; implement digital visitor log; add CCTV inside server room</t>
        </is>
      </c>
      <c r="M11" s="6" t="inlineStr">
        <is>
          <t>Low</t>
        </is>
      </c>
      <c r="N11" s="14" t="inlineStr">
        <is>
          <t>Planned</t>
        </is>
      </c>
    </row>
    <row r="12" ht="45" customHeight="1">
      <c r="A12" s="10" t="inlineStr">
        <is>
          <t>R-008</t>
        </is>
      </c>
      <c r="B12" s="11" t="inlineStr">
        <is>
          <t>HR / Payroll Application</t>
        </is>
      </c>
      <c r="C12" s="11" t="inlineStr">
        <is>
          <t>HR Director</t>
        </is>
      </c>
      <c r="D12" s="12" t="inlineStr">
        <is>
          <t>Business Application</t>
        </is>
      </c>
      <c r="E12" s="12" t="inlineStr">
        <is>
          <t>Third-Party Vendor Breach</t>
        </is>
      </c>
      <c r="F12" s="12" t="inlineStr">
        <is>
          <t>Vendor security posture not assessed; no contractual security requirements</t>
        </is>
      </c>
      <c r="G12" s="7" t="n">
        <v>3</v>
      </c>
      <c r="H12" s="7" t="n">
        <v>5</v>
      </c>
      <c r="I12" s="7">
        <f>G12*H12</f>
        <v/>
      </c>
      <c r="J12" s="8" t="inlineStr"/>
      <c r="K12" s="12" t="inlineStr">
        <is>
          <t>Annual vendor contract review</t>
        </is>
      </c>
      <c r="L12" s="12" t="inlineStr">
        <is>
          <t>Conduct vendor risk assessment using SIG Lite questionnaire; add security addendum to contract; monitor vendor security advisories</t>
        </is>
      </c>
      <c r="M12" s="12" t="inlineStr">
        <is>
          <t>High</t>
        </is>
      </c>
      <c r="N12" s="13" t="inlineStr">
        <is>
          <t>Open</t>
        </is>
      </c>
    </row>
    <row r="13" ht="45" customHeight="1">
      <c r="A13" s="4" t="inlineStr">
        <is>
          <t>R-009</t>
        </is>
      </c>
      <c r="B13" s="5" t="inlineStr">
        <is>
          <t>Network Infrastructure (Core Switch)</t>
        </is>
      </c>
      <c r="C13" s="5" t="inlineStr">
        <is>
          <t>IT Department</t>
        </is>
      </c>
      <c r="D13" s="6" t="inlineStr">
        <is>
          <t>Network Infrastructure</t>
        </is>
      </c>
      <c r="E13" s="6" t="inlineStr">
        <is>
          <t>Unpatched Network Device Firmware</t>
        </is>
      </c>
      <c r="F13" s="6" t="inlineStr">
        <is>
          <t>Firmware updates applied ad hoc; no formal patch management schedule</t>
        </is>
      </c>
      <c r="G13" s="7" t="n">
        <v>3</v>
      </c>
      <c r="H13" s="7" t="n">
        <v>4</v>
      </c>
      <c r="I13" s="7">
        <f>G13*H13</f>
        <v/>
      </c>
      <c r="J13" s="8" t="inlineStr"/>
      <c r="K13" s="6" t="inlineStr">
        <is>
          <t>Manual monthly patch checks; change management process in place</t>
        </is>
      </c>
      <c r="L13" s="6" t="inlineStr">
        <is>
          <t>Implement formal patch management policy with monthly firmware update schedule; maintain patch compliance tracking</t>
        </is>
      </c>
      <c r="M13" s="6" t="inlineStr">
        <is>
          <t>Medium</t>
        </is>
      </c>
      <c r="N13" s="9" t="inlineStr">
        <is>
          <t>In Progress</t>
        </is>
      </c>
    </row>
    <row r="14" ht="45" customHeight="1">
      <c r="A14" s="10" t="inlineStr">
        <is>
          <t>R-010</t>
        </is>
      </c>
      <c r="B14" s="11" t="inlineStr">
        <is>
          <t>Backup Systems (Veeam)</t>
        </is>
      </c>
      <c r="C14" s="11" t="inlineStr">
        <is>
          <t>IT Department</t>
        </is>
      </c>
      <c r="D14" s="12" t="inlineStr">
        <is>
          <t>Data / Information</t>
        </is>
      </c>
      <c r="E14" s="12" t="inlineStr">
        <is>
          <t>Ransomware Targeting Backup Repository</t>
        </is>
      </c>
      <c r="F14" s="12" t="inlineStr">
        <is>
          <t>Backups stored on network share accessible from production environment</t>
        </is>
      </c>
      <c r="G14" s="7" t="n">
        <v>4</v>
      </c>
      <c r="H14" s="7" t="n">
        <v>5</v>
      </c>
      <c r="I14" s="7">
        <f>G14*H14</f>
        <v/>
      </c>
      <c r="J14" s="8" t="inlineStr"/>
      <c r="K14" s="12" t="inlineStr">
        <is>
          <t>Daily backups; offsite tape rotation weekly</t>
        </is>
      </c>
      <c r="L14" s="12" t="inlineStr">
        <is>
          <t>Implement air-gapped / immutable backup storage; test restoration quarterly; enforce 3-2-1 backup rule</t>
        </is>
      </c>
      <c r="M14" s="12" t="inlineStr">
        <is>
          <t>Critical</t>
        </is>
      </c>
      <c r="N14" s="13" t="inlineStr">
        <is>
          <t>Open</t>
        </is>
      </c>
    </row>
    <row r="15" ht="45" customHeight="1">
      <c r="A15" s="4" t="inlineStr">
        <is>
          <t>R-011</t>
        </is>
      </c>
      <c r="B15" s="5" t="inlineStr">
        <is>
          <t>Public-Facing Website</t>
        </is>
      </c>
      <c r="C15" s="5" t="inlineStr">
        <is>
          <t>Marketing / IT</t>
        </is>
      </c>
      <c r="D15" s="6" t="inlineStr">
        <is>
          <t>Web Application</t>
        </is>
      </c>
      <c r="E15" s="6" t="inlineStr">
        <is>
          <t>SQL Injection / Web Application Attack</t>
        </is>
      </c>
      <c r="F15" s="6" t="inlineStr">
        <is>
          <t>No Web Application Firewall (WAF); last pen test 3 years ago</t>
        </is>
      </c>
      <c r="G15" s="7" t="n">
        <v>3</v>
      </c>
      <c r="H15" s="7" t="n">
        <v>3</v>
      </c>
      <c r="I15" s="7">
        <f>G15*H15</f>
        <v/>
      </c>
      <c r="J15" s="8" t="inlineStr"/>
      <c r="K15" s="6" t="inlineStr">
        <is>
          <t>HTTPS enforced; basic input validation in code</t>
        </is>
      </c>
      <c r="L15" s="6" t="inlineStr">
        <is>
          <t>Deploy WAF; conduct annual web application penetration test; remediate OWASP Top 10 vulnerabilities</t>
        </is>
      </c>
      <c r="M15" s="6" t="inlineStr">
        <is>
          <t>Medium</t>
        </is>
      </c>
      <c r="N15" s="14" t="inlineStr">
        <is>
          <t>Planned</t>
        </is>
      </c>
    </row>
    <row r="16" ht="45" customHeight="1">
      <c r="A16" s="10" t="inlineStr">
        <is>
          <t>R-012</t>
        </is>
      </c>
      <c r="B16" s="11" t="inlineStr">
        <is>
          <t>Employee Onboarding Process</t>
        </is>
      </c>
      <c r="C16" s="11" t="inlineStr">
        <is>
          <t>HR Director</t>
        </is>
      </c>
      <c r="D16" s="12" t="inlineStr">
        <is>
          <t>Process / Procedure</t>
        </is>
      </c>
      <c r="E16" s="12" t="inlineStr">
        <is>
          <t>Improper Access Provisioning</t>
        </is>
      </c>
      <c r="F16" s="12" t="inlineStr">
        <is>
          <t>No formal access request workflow; IT provisions access based on verbal requests</t>
        </is>
      </c>
      <c r="G16" s="7" t="n">
        <v>4</v>
      </c>
      <c r="H16" s="7" t="n">
        <v>3</v>
      </c>
      <c r="I16" s="7">
        <f>G16*H16</f>
        <v/>
      </c>
      <c r="J16" s="8" t="inlineStr"/>
      <c r="K16" s="12" t="inlineStr">
        <is>
          <t>Manual provisioning checklist used inconsistently</t>
        </is>
      </c>
      <c r="L16" s="12" t="inlineStr">
        <is>
          <t>Implement formal Identity Governance &amp; Administration (IGA) process; require signed access request forms; conduct 30-day new hire access review</t>
        </is>
      </c>
      <c r="M16" s="12" t="inlineStr">
        <is>
          <t>Medium</t>
        </is>
      </c>
      <c r="N16" s="13" t="inlineStr">
        <is>
          <t>Open</t>
        </is>
      </c>
    </row>
    <row r="17" ht="45" customHeight="1">
      <c r="A17" s="4" t="inlineStr">
        <is>
          <t>R-013</t>
        </is>
      </c>
      <c r="B17" s="5" t="inlineStr">
        <is>
          <t>Incident Response</t>
        </is>
      </c>
      <c r="C17" s="5" t="inlineStr">
        <is>
          <t>CISO / IT Manager</t>
        </is>
      </c>
      <c r="D17" s="6" t="inlineStr">
        <is>
          <t>Process / Procedure</t>
        </is>
      </c>
      <c r="E17" s="6" t="inlineStr">
        <is>
          <t>No Formal IR Plan — Extended Breach Dwell Time</t>
        </is>
      </c>
      <c r="F17" s="6" t="inlineStr">
        <is>
          <t>Incident response plan not documented; roles and responsibilities undefined</t>
        </is>
      </c>
      <c r="G17" s="7" t="n">
        <v>3</v>
      </c>
      <c r="H17" s="7" t="n">
        <v>5</v>
      </c>
      <c r="I17" s="7">
        <f>G17*H17</f>
        <v/>
      </c>
      <c r="J17" s="8" t="inlineStr"/>
      <c r="K17" s="6" t="inlineStr">
        <is>
          <t>Informal response process exists; IT on-call rotation in place</t>
        </is>
      </c>
      <c r="L17" s="6" t="inlineStr">
        <is>
          <t>Develop formal Incident Response Plan aligned to NIST SP 800-61r2; define roles; conduct annual tabletop exercise</t>
        </is>
      </c>
      <c r="M17" s="6" t="inlineStr">
        <is>
          <t>High</t>
        </is>
      </c>
      <c r="N17" s="13" t="inlineStr">
        <is>
          <t>Open</t>
        </is>
      </c>
    </row>
    <row r="18" ht="45" customHeight="1">
      <c r="A18" s="10" t="inlineStr">
        <is>
          <t>R-014</t>
        </is>
      </c>
      <c r="B18" s="11" t="inlineStr">
        <is>
          <t>Executive Workstations</t>
        </is>
      </c>
      <c r="C18" s="11" t="inlineStr">
        <is>
          <t>C-Suite / IT</t>
        </is>
      </c>
      <c r="D18" s="12" t="inlineStr">
        <is>
          <t>End-User Device</t>
        </is>
      </c>
      <c r="E18" s="12" t="inlineStr">
        <is>
          <t>Spear Phishing / Whaling Attack</t>
        </is>
      </c>
      <c r="F18" s="12" t="inlineStr">
        <is>
          <t>Executives not included in phishing simulations; elevated system privileges</t>
        </is>
      </c>
      <c r="G18" s="7" t="n">
        <v>3</v>
      </c>
      <c r="H18" s="7" t="n">
        <v>5</v>
      </c>
      <c r="I18" s="7">
        <f>G18*H18</f>
        <v/>
      </c>
      <c r="J18" s="8" t="inlineStr"/>
      <c r="K18" s="12" t="inlineStr">
        <is>
          <t>Standard AV; email filtering</t>
        </is>
      </c>
      <c r="L18" s="12" t="inlineStr">
        <is>
          <t>Include executives in phishing program; remove local admin rights; deploy advanced email threat protection</t>
        </is>
      </c>
      <c r="M18" s="12" t="inlineStr">
        <is>
          <t>High</t>
        </is>
      </c>
      <c r="N18" s="14" t="inlineStr">
        <is>
          <t>Planned</t>
        </is>
      </c>
    </row>
    <row r="19" ht="45" customHeight="1">
      <c r="A19" s="4" t="inlineStr">
        <is>
          <t>R-015</t>
        </is>
      </c>
      <c r="B19" s="5" t="inlineStr">
        <is>
          <t>Software Development Pipeline</t>
        </is>
      </c>
      <c r="C19" s="5" t="inlineStr">
        <is>
          <t>Dev Team Lead</t>
        </is>
      </c>
      <c r="D19" s="6" t="inlineStr">
        <is>
          <t>Development Environment</t>
        </is>
      </c>
      <c r="E19" s="6" t="inlineStr">
        <is>
          <t>Insecure Code Deployment — Vulnerability Introduction</t>
        </is>
      </c>
      <c r="F19" s="6" t="inlineStr">
        <is>
          <t>No static application security testing (SAST) in CI/CD pipeline; code reviews informal</t>
        </is>
      </c>
      <c r="G19" s="7" t="n">
        <v>3</v>
      </c>
      <c r="H19" s="7" t="n">
        <v>4</v>
      </c>
      <c r="I19" s="7">
        <f>G19*H19</f>
        <v/>
      </c>
      <c r="J19" s="8" t="inlineStr"/>
      <c r="K19" s="6" t="inlineStr">
        <is>
          <t>Peer code review process; Git version control</t>
        </is>
      </c>
      <c r="L19" s="6" t="inlineStr">
        <is>
          <t>Integrate SAST tool (Semgrep/SonarQube) into CI/CD pipeline; establish secure coding standards; conduct developer security training</t>
        </is>
      </c>
      <c r="M19" s="6" t="inlineStr">
        <is>
          <t>Medium</t>
        </is>
      </c>
      <c r="N19" s="14" t="inlineStr">
        <is>
          <t>Planned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32" customWidth="1" min="4" max="4"/>
    <col width="14" customWidth="1" min="5" max="5"/>
    <col width="14" customWidth="1" min="6" max="6"/>
  </cols>
  <sheetData>
    <row r="1" ht="28" customHeight="1">
      <c r="A1" s="15" t="inlineStr">
        <is>
          <t>RISK SUMMARY DASHBOARD — MERIDIAN TECH SOLUTIONS</t>
        </is>
      </c>
    </row>
    <row r="2">
      <c r="A2" s="2" t="inlineStr">
        <is>
          <t>Auto-calculated from Risk Register tab  |  Last Updated: June 2026</t>
        </is>
      </c>
    </row>
    <row r="3" ht="10" customHeight="1"/>
    <row r="4">
      <c r="A4" s="16" t="inlineStr">
        <is>
          <t>Risk Level</t>
        </is>
      </c>
      <c r="B4" s="16" t="inlineStr">
        <is>
          <t>Count</t>
        </is>
      </c>
      <c r="C4" s="16" t="inlineStr">
        <is>
          <t>% of Total</t>
        </is>
      </c>
      <c r="D4" s="16" t="inlineStr">
        <is>
          <t>Treatment Priority</t>
        </is>
      </c>
    </row>
    <row r="5" ht="20" customHeight="1">
      <c r="A5" s="17" t="inlineStr">
        <is>
          <t>Critical</t>
        </is>
      </c>
      <c r="B5" s="17">
        <f>COUNTIF('Risk Register'!J5:J100,"Critical")</f>
        <v/>
      </c>
      <c r="C5" s="18">
        <f>B5/B9</f>
        <v/>
      </c>
      <c r="D5" s="19" t="inlineStr">
        <is>
          <t>Immediate — within 30 days</t>
        </is>
      </c>
    </row>
    <row r="6" ht="20" customHeight="1">
      <c r="A6" s="20" t="inlineStr">
        <is>
          <t>High</t>
        </is>
      </c>
      <c r="B6" s="20">
        <f>COUNTIF('Risk Register'!J5:J100,"High")</f>
        <v/>
      </c>
      <c r="C6" s="21">
        <f>B6/B9</f>
        <v/>
      </c>
      <c r="D6" s="19" t="inlineStr">
        <is>
          <t>Short-term — within 90 days</t>
        </is>
      </c>
    </row>
    <row r="7" ht="20" customHeight="1">
      <c r="A7" s="22" t="inlineStr">
        <is>
          <t>Medium</t>
        </is>
      </c>
      <c r="B7" s="22">
        <f>COUNTIF('Risk Register'!J5:J100,"Medium")</f>
        <v/>
      </c>
      <c r="C7" s="23">
        <f>B7/B9</f>
        <v/>
      </c>
      <c r="D7" s="24" t="inlineStr">
        <is>
          <t>Medium-term — within 180 days</t>
        </is>
      </c>
    </row>
    <row r="8" ht="20" customHeight="1">
      <c r="A8" s="25" t="inlineStr">
        <is>
          <t>Low</t>
        </is>
      </c>
      <c r="B8" s="25">
        <f>COUNTIF('Risk Register'!J5:J100,"Low")</f>
        <v/>
      </c>
      <c r="C8" s="26">
        <f>B8/B9</f>
        <v/>
      </c>
      <c r="D8" s="27" t="inlineStr">
        <is>
          <t>Long-term — within 12 months</t>
        </is>
      </c>
    </row>
    <row r="9" ht="20" customHeight="1">
      <c r="A9" s="28" t="inlineStr">
        <is>
          <t>TOTAL</t>
        </is>
      </c>
      <c r="B9" s="28">
        <f>SUM(B5:B8)</f>
        <v/>
      </c>
      <c r="C9" s="29">
        <f>SUM(C5:C8)</f>
        <v/>
      </c>
      <c r="D9" s="30" t="inlineStr"/>
    </row>
    <row r="10" ht="10" customHeight="1"/>
    <row r="11">
      <c r="A11" s="31" t="inlineStr">
        <is>
          <t>TREATMENT STATUS SUMMARY</t>
        </is>
      </c>
    </row>
    <row r="12">
      <c r="A12" s="16" t="inlineStr">
        <is>
          <t>Status</t>
        </is>
      </c>
      <c r="B12" s="16" t="inlineStr">
        <is>
          <t>Count</t>
        </is>
      </c>
    </row>
    <row r="13" ht="18" customHeight="1">
      <c r="A13" s="32" t="inlineStr">
        <is>
          <t>Open</t>
        </is>
      </c>
      <c r="B13" s="33">
        <f>COUNTIF('Risk Register'!N5:N100,"Open")</f>
        <v/>
      </c>
    </row>
    <row r="14" ht="18" customHeight="1">
      <c r="A14" s="34" t="inlineStr">
        <is>
          <t>In Progress</t>
        </is>
      </c>
      <c r="B14" s="35">
        <f>COUNTIF('Risk Register'!N5:N100,"In Progress")</f>
        <v/>
      </c>
    </row>
    <row r="15" ht="18" customHeight="1">
      <c r="A15" s="36" t="inlineStr">
        <is>
          <t>Planned</t>
        </is>
      </c>
      <c r="B15" s="37">
        <f>COUNTIF('Risk Register'!N5:N100,"Planned")</f>
        <v/>
      </c>
    </row>
    <row r="16" ht="18" customHeight="1">
      <c r="A16" s="38" t="inlineStr">
        <is>
          <t>Closed</t>
        </is>
      </c>
      <c r="B16" s="39">
        <f>COUNTIF('Risk Register'!N5:N100,"Closed")</f>
        <v/>
      </c>
    </row>
  </sheetData>
  <mergeCells count="3">
    <mergeCell ref="A2:F2"/>
    <mergeCell ref="A1:F1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40" customWidth="1" min="4" max="4"/>
  </cols>
  <sheetData>
    <row r="1" ht="28" customHeight="1">
      <c r="A1" s="15" t="inlineStr">
        <is>
          <t>RISK REGISTER METHODOLOGY &amp; SCORING KEY</t>
        </is>
      </c>
    </row>
    <row r="2" ht="8" customHeight="1"/>
    <row r="3" ht="16" customHeight="1">
      <c r="A3" s="40" t="inlineStr">
        <is>
          <t>FRAMEWORK</t>
        </is>
      </c>
      <c r="B3" s="41" t="inlineStr">
        <is>
          <t>NIST SP 800-30 Rev 1 — Guide for Conducting Risk Assessments</t>
        </is>
      </c>
      <c r="C3" s="42" t="n"/>
      <c r="D3" s="43" t="n"/>
    </row>
    <row r="4" ht="16" customHeight="1">
      <c r="A4" s="40" t="inlineStr">
        <is>
          <t>ORGANIZATION</t>
        </is>
      </c>
      <c r="B4" s="41" t="inlineStr">
        <is>
          <t>Meridian Tech Solutions (Fictional — GRC Portfolio Exercise)</t>
        </is>
      </c>
      <c r="C4" s="42" t="n"/>
      <c r="D4" s="43" t="n"/>
    </row>
    <row r="5" ht="16" customHeight="1">
      <c r="A5" s="40" t="inlineStr">
        <is>
          <t>ANALYST</t>
        </is>
      </c>
      <c r="B5" s="41" t="inlineStr">
        <is>
          <t>Avein Glasper — GRC Portfolio Project, June 2026</t>
        </is>
      </c>
      <c r="C5" s="42" t="n"/>
      <c r="D5" s="43" t="n"/>
    </row>
    <row r="6" ht="16" customHeight="1">
      <c r="A6" s="40" t="inlineStr">
        <is>
          <t>SCOPE</t>
        </is>
      </c>
      <c r="B6" s="41" t="inlineStr">
        <is>
          <t>Enterprise information systems, data assets, and operational processes</t>
        </is>
      </c>
      <c r="C6" s="42" t="n"/>
      <c r="D6" s="43" t="n"/>
    </row>
    <row r="7" ht="16" customHeight="1">
      <c r="A7" s="40" t="inlineStr">
        <is>
          <t>REVIEW CYCLE</t>
        </is>
      </c>
      <c r="B7" s="41" t="inlineStr">
        <is>
          <t>Quarterly review; immediate update upon significant change</t>
        </is>
      </c>
      <c r="C7" s="42" t="n"/>
      <c r="D7" s="43" t="n"/>
    </row>
    <row r="9" ht="12" customHeight="1"/>
    <row r="10">
      <c r="A10" s="44" t="inlineStr">
        <is>
          <t>LIKELIHOOD SCALE</t>
        </is>
      </c>
    </row>
    <row r="11" ht="16" customHeight="1">
      <c r="A11" s="7" t="n">
        <v>1</v>
      </c>
      <c r="B11" s="45" t="inlineStr">
        <is>
          <t>Rare</t>
        </is>
      </c>
      <c r="C11" s="41" t="inlineStr">
        <is>
          <t>Event is unlikely to occur; less than 10% probability in a given year</t>
        </is>
      </c>
    </row>
    <row r="12" ht="16" customHeight="1">
      <c r="A12" s="7" t="n">
        <v>2</v>
      </c>
      <c r="B12" s="45" t="inlineStr">
        <is>
          <t>Unlikely</t>
        </is>
      </c>
      <c r="C12" s="41" t="inlineStr">
        <is>
          <t>Event could occur but is not expected; 10–30% probability</t>
        </is>
      </c>
    </row>
    <row r="13" ht="16" customHeight="1">
      <c r="A13" s="7" t="n">
        <v>3</v>
      </c>
      <c r="B13" s="45" t="inlineStr">
        <is>
          <t>Possible</t>
        </is>
      </c>
      <c r="C13" s="41" t="inlineStr">
        <is>
          <t>Event may occur; roughly 30–60% probability</t>
        </is>
      </c>
    </row>
    <row r="14" ht="16" customHeight="1">
      <c r="A14" s="7" t="n">
        <v>4</v>
      </c>
      <c r="B14" s="45" t="inlineStr">
        <is>
          <t>Likely</t>
        </is>
      </c>
      <c r="C14" s="41" t="inlineStr">
        <is>
          <t>Event is expected to occur in most circumstances; 60–80% probability</t>
        </is>
      </c>
    </row>
    <row r="15" ht="16" customHeight="1">
      <c r="A15" s="7" t="n">
        <v>5</v>
      </c>
      <c r="B15" s="45" t="inlineStr">
        <is>
          <t>Almost Certain</t>
        </is>
      </c>
      <c r="C15" s="41" t="inlineStr">
        <is>
          <t>Event is expected to occur; greater than 80% probability</t>
        </is>
      </c>
    </row>
    <row r="17" ht="12" customHeight="1"/>
    <row r="18">
      <c r="A18" s="44" t="inlineStr">
        <is>
          <t>IMPACT SCALE</t>
        </is>
      </c>
    </row>
    <row r="19" ht="16" customHeight="1">
      <c r="A19" s="7" t="n">
        <v>1</v>
      </c>
      <c r="B19" s="45" t="inlineStr">
        <is>
          <t>Negligible</t>
        </is>
      </c>
      <c r="C19" s="41" t="inlineStr">
        <is>
          <t>Minimal operational impact; no regulatory consequence; recoverable within hours</t>
        </is>
      </c>
    </row>
    <row r="20" ht="16" customHeight="1">
      <c r="A20" s="7" t="n">
        <v>2</v>
      </c>
      <c r="B20" s="45" t="inlineStr">
        <is>
          <t>Minor</t>
        </is>
      </c>
      <c r="C20" s="41" t="inlineStr">
        <is>
          <t>Limited impact; minor regulatory notice possible; recoverable within days</t>
        </is>
      </c>
    </row>
    <row r="21" ht="16" customHeight="1">
      <c r="A21" s="7" t="n">
        <v>3</v>
      </c>
      <c r="B21" s="45" t="inlineStr">
        <is>
          <t>Moderate</t>
        </is>
      </c>
      <c r="C21" s="41" t="inlineStr">
        <is>
          <t>Moderate disruption; regulatory reporting likely; recovery within weeks</t>
        </is>
      </c>
    </row>
    <row r="22" ht="16" customHeight="1">
      <c r="A22" s="7" t="n">
        <v>4</v>
      </c>
      <c r="B22" s="45" t="inlineStr">
        <is>
          <t>Major</t>
        </is>
      </c>
      <c r="C22" s="41" t="inlineStr">
        <is>
          <t>Significant disruption; regulatory fines possible; recovery within months</t>
        </is>
      </c>
    </row>
    <row r="23" ht="16" customHeight="1">
      <c r="A23" s="7" t="n">
        <v>5</v>
      </c>
      <c r="B23" s="45" t="inlineStr">
        <is>
          <t>Catastrophic</t>
        </is>
      </c>
      <c r="C23" s="41" t="inlineStr">
        <is>
          <t>Critical system failure or data breach; severe regulatory/legal consequence; long-term recovery</t>
        </is>
      </c>
    </row>
    <row r="25" ht="12" customHeight="1"/>
    <row r="26">
      <c r="A26" s="44" t="inlineStr">
        <is>
          <t>RISK LEVEL MATRIX (Likelihood × Impact)</t>
        </is>
      </c>
    </row>
    <row r="27" ht="16" customHeight="1">
      <c r="A27" s="46" t="inlineStr">
        <is>
          <t>Score Range</t>
        </is>
      </c>
      <c r="B27" s="46" t="inlineStr">
        <is>
          <t>Risk Level</t>
        </is>
      </c>
      <c r="C27" s="46" t="inlineStr">
        <is>
          <t>Color Code</t>
        </is>
      </c>
      <c r="D27" s="46" t="inlineStr">
        <is>
          <t>Response Timeline</t>
        </is>
      </c>
    </row>
    <row r="28" ht="16" customHeight="1">
      <c r="A28" s="47" t="inlineStr">
        <is>
          <t>20–25</t>
        </is>
      </c>
      <c r="B28" s="48" t="inlineStr">
        <is>
          <t>Critical</t>
        </is>
      </c>
      <c r="C28" s="48" t="inlineStr">
        <is>
          <t>Red</t>
        </is>
      </c>
      <c r="D28" s="49" t="inlineStr">
        <is>
          <t>Immediate — within 30 days</t>
        </is>
      </c>
    </row>
    <row r="29" ht="16" customHeight="1">
      <c r="A29" s="47" t="inlineStr">
        <is>
          <t>12–19</t>
        </is>
      </c>
      <c r="B29" s="48" t="inlineStr">
        <is>
          <t>High</t>
        </is>
      </c>
      <c r="C29" s="48" t="inlineStr">
        <is>
          <t>Orange-Red</t>
        </is>
      </c>
      <c r="D29" s="49" t="inlineStr">
        <is>
          <t>Short-term — within 90 days</t>
        </is>
      </c>
    </row>
    <row r="30" ht="16" customHeight="1">
      <c r="A30" s="47" t="inlineStr">
        <is>
          <t>6–11</t>
        </is>
      </c>
      <c r="B30" s="48" t="inlineStr">
        <is>
          <t>Medium</t>
        </is>
      </c>
      <c r="C30" s="48" t="inlineStr">
        <is>
          <t>Yellow</t>
        </is>
      </c>
      <c r="D30" s="49" t="inlineStr">
        <is>
          <t>Medium-term — within 180 days</t>
        </is>
      </c>
    </row>
    <row r="31" ht="16" customHeight="1">
      <c r="A31" s="47" t="inlineStr">
        <is>
          <t>1–5</t>
        </is>
      </c>
      <c r="B31" s="48" t="inlineStr">
        <is>
          <t>Low</t>
        </is>
      </c>
      <c r="C31" s="48" t="inlineStr">
        <is>
          <t>Green</t>
        </is>
      </c>
      <c r="D31" s="49" t="inlineStr">
        <is>
          <t>Long-term — within 12 months</t>
        </is>
      </c>
    </row>
  </sheetData>
  <mergeCells count="19">
    <mergeCell ref="C15:D15"/>
    <mergeCell ref="C14:D14"/>
    <mergeCell ref="A10:D10"/>
    <mergeCell ref="C20:D20"/>
    <mergeCell ref="C22:D22"/>
    <mergeCell ref="B6:D6"/>
    <mergeCell ref="A1:D1"/>
    <mergeCell ref="C12:D12"/>
    <mergeCell ref="B5:D5"/>
    <mergeCell ref="C21:D21"/>
    <mergeCell ref="C11:D11"/>
    <mergeCell ref="B4:D4"/>
    <mergeCell ref="B7:D7"/>
    <mergeCell ref="C23:D23"/>
    <mergeCell ref="B3:D3"/>
    <mergeCell ref="A18:D18"/>
    <mergeCell ref="A26:D26"/>
    <mergeCell ref="C19:D19"/>
    <mergeCell ref="C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2026-06-28T00:29:30Z</dcterms:created>
  <dcterms:modified xmlns:dcterms="http://purl.org/dc/terms/" xmlns:xsi="http://www.w3.org/2001/XMLSchema-instance" xsi:type="dcterms:W3CDTF">2026-06-28T00:29:30Z</dcterms:modified>
</cp:coreProperties>
</file>